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pendicular" sheetId="1" r:id="rId4"/>
    <sheet state="visible" name="Angled" sheetId="2" r:id="rId5"/>
  </sheets>
  <definedNames/>
  <calcPr/>
  <extLst>
    <ext uri="GoogleSheetsCustomDataVersion2">
      <go:sheetsCustomData xmlns:go="http://customooxmlschemas.google.com/" r:id="rId6" roundtripDataChecksum="YGaQqRijPNZp8Xp59MD9Y//KGoyacLGyCOQOfmSEK48="/>
    </ext>
  </extLst>
</workbook>
</file>

<file path=xl/sharedStrings.xml><?xml version="1.0" encoding="utf-8"?>
<sst xmlns="http://schemas.openxmlformats.org/spreadsheetml/2006/main" count="71" uniqueCount="39">
  <si>
    <t xml:space="preserve"> Current (nA) (In Chamber)</t>
  </si>
  <si>
    <t>Unit conversions</t>
  </si>
  <si>
    <t>Slits [mm]</t>
  </si>
  <si>
    <t>Area [cm2]</t>
  </si>
  <si>
    <t>Charge State</t>
  </si>
  <si>
    <t>24/9</t>
  </si>
  <si>
    <t>Current Density [nA/cm2]</t>
  </si>
  <si>
    <t>1 A = 6.242e18 e/s</t>
  </si>
  <si>
    <t>Flux [ions/cm^2^s]</t>
  </si>
  <si>
    <t>Irradiation target fluence</t>
  </si>
  <si>
    <t>Total irradiation time [h]</t>
  </si>
  <si>
    <t>Total irradiation time [min]</t>
  </si>
  <si>
    <t>Total irradiation time [s]</t>
  </si>
  <si>
    <t>time irradiated (s)</t>
  </si>
  <si>
    <t>fluence irradiated</t>
  </si>
  <si>
    <t>dose left</t>
  </si>
  <si>
    <t>check total fluence target</t>
  </si>
  <si>
    <t>`</t>
  </si>
  <si>
    <t>dpi</t>
  </si>
  <si>
    <t>dpa/s</t>
  </si>
  <si>
    <t>desired dose [dpa]</t>
  </si>
  <si>
    <t>irradiation time [s]</t>
  </si>
  <si>
    <t>irradiation time [h]</t>
  </si>
  <si>
    <t>irradiation time [m]</t>
  </si>
  <si>
    <t>Irradiation target fluence calculation</t>
  </si>
  <si>
    <t>dpa</t>
  </si>
  <si>
    <t>atomic density</t>
  </si>
  <si>
    <t>conversion factor</t>
  </si>
  <si>
    <t>Current (nA) (In Chamber, 3x3)</t>
  </si>
  <si>
    <t>Y Slit (mm)</t>
  </si>
  <si>
    <t>Each Side</t>
  </si>
  <si>
    <t>Current After Raster (nA)</t>
  </si>
  <si>
    <t>Y</t>
  </si>
  <si>
    <t>X Slit (mm)</t>
  </si>
  <si>
    <t>X</t>
  </si>
  <si>
    <t>Irradiation Angle (deg)</t>
  </si>
  <si>
    <t>Area Scale Factor</t>
  </si>
  <si>
    <t>Standard Flux [ions/cm^2^s]</t>
  </si>
  <si>
    <t>Flux at Angle [ions/cm^2^2]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</si>
</sst>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E+000"/>
  </numFmts>
  <fonts count="5">
    <font>
      <sz val="11.0"/>
      <color rgb="FF000000"/>
      <name val="Arial"/>
      <scheme val="minor"/>
    </font>
    <font>
      <sz val="11.0"/>
      <color rgb="FF000000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sz val="13.0"/>
      <color rgb="FF33009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3" numFmtId="0" xfId="0" applyFont="1"/>
    <xf borderId="0" fillId="0" fontId="3" numFmtId="164" xfId="0" applyFont="1" applyNumberFormat="1"/>
    <xf borderId="0" fillId="0" fontId="4" numFmtId="164" xfId="0" applyFont="1" applyNumberFormat="1"/>
    <xf borderId="0" fillId="0" fontId="1" numFmtId="11" xfId="0" applyFont="1" applyNumberFormat="1"/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7.13"/>
    <col customWidth="1" min="3" max="3" width="10.5"/>
    <col customWidth="1" min="4" max="4" width="25.25"/>
    <col customWidth="1" min="5" max="5" width="27.38"/>
    <col customWidth="1" min="6" max="6" width="25.5"/>
    <col customWidth="1" min="7" max="26" width="8.63"/>
  </cols>
  <sheetData>
    <row r="1" ht="13.5" customHeight="1">
      <c r="A1" s="1" t="s">
        <v>0</v>
      </c>
      <c r="B1" s="2">
        <v>40000.0</v>
      </c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 t="s">
        <v>2</v>
      </c>
      <c r="B2" s="2">
        <v>5.0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3</v>
      </c>
      <c r="B3" s="1">
        <f>(B2/10)^2</f>
        <v>0.25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 t="s">
        <v>4</v>
      </c>
      <c r="B4" s="2">
        <v>1.0</v>
      </c>
      <c r="C4" s="1"/>
      <c r="D4" s="1"/>
      <c r="E4" s="1"/>
      <c r="F4" s="1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 t="s">
        <v>6</v>
      </c>
      <c r="B5" s="1">
        <f>B1/(B2/10)^2</f>
        <v>160000</v>
      </c>
      <c r="C5" s="1"/>
      <c r="D5" s="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 t="s">
        <v>8</v>
      </c>
      <c r="B6" s="3">
        <f>B5*0.000000001*6242000000000000000/B4</f>
        <v>998720000000000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" t="s">
        <v>9</v>
      </c>
      <c r="B9" s="5">
        <v>7.0E14</v>
      </c>
      <c r="C9" s="3"/>
      <c r="D9" s="6" t="s">
        <v>10</v>
      </c>
      <c r="E9" s="6" t="s">
        <v>11</v>
      </c>
      <c r="F9" s="6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7" t="s">
        <v>12</v>
      </c>
      <c r="B10" s="8">
        <f>B9/B6</f>
        <v>0.7008971483</v>
      </c>
      <c r="C10" s="1"/>
      <c r="D10" s="6">
        <f>INT(B10/3600)</f>
        <v>0</v>
      </c>
      <c r="E10" s="6">
        <f>INT((B10/3600-INT(B10/3600))*60)</f>
        <v>0</v>
      </c>
      <c r="F10" s="9">
        <f>(B10)-INT(B10/60)*60</f>
        <v>0.7008971483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7" t="s">
        <v>11</v>
      </c>
      <c r="B11" s="8">
        <f>B10/60</f>
        <v>0.01168161914</v>
      </c>
      <c r="C11" s="1"/>
      <c r="D11" s="1"/>
      <c r="E11" s="1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>
        <f>50.4</f>
        <v>50.4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 t="s">
        <v>13</v>
      </c>
      <c r="B14" s="2">
        <v>10000.0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 t="s">
        <v>14</v>
      </c>
      <c r="B15" s="3">
        <f>B14*B6</f>
        <v>9.9872E+18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3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7" t="s">
        <v>15</v>
      </c>
      <c r="B17" s="8">
        <f>B9-B15</f>
        <v>-9.9865E+18</v>
      </c>
      <c r="C17" s="1"/>
      <c r="D17" s="1" t="s">
        <v>16</v>
      </c>
      <c r="E17" s="3">
        <f>B15+B17</f>
        <v>700000000000000</v>
      </c>
      <c r="F17" s="1" t="s">
        <v>17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>
        <f>10000000000000000 - 3260000000000000</f>
        <v>6.74E+15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18</v>
      </c>
      <c r="B23" s="3">
        <v>1.6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 t="s">
        <v>19</v>
      </c>
      <c r="B24" s="3">
        <f>B6*B23</f>
        <v>1.59795E+15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 t="s">
        <v>20</v>
      </c>
      <c r="B25" s="2">
        <v>50.0</v>
      </c>
      <c r="C25" s="1"/>
      <c r="D25" s="1">
        <f>11700000000000000 / 18000</f>
        <v>650000000000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 t="s">
        <v>21</v>
      </c>
      <c r="B26" s="3">
        <f>B25/B24</f>
        <v>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22</v>
      </c>
      <c r="B28" s="1">
        <f>_xlfn.FLOOR.MATH(B26/3600,1)</f>
        <v>0</v>
      </c>
      <c r="C28" s="1"/>
      <c r="D28" s="1">
        <f>4.68 + 5.06 + 5.37 + 2.68 + 3.24 + 6.42</f>
        <v>27.45</v>
      </c>
      <c r="E28" s="1"/>
      <c r="F28" s="10">
        <v>2.0E9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23</v>
      </c>
      <c r="B29" s="1">
        <f>_xlfn.FLOOR.MATH((B26-B28*3600)/60,1)</f>
        <v>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 t="s">
        <v>21</v>
      </c>
      <c r="B30" s="3">
        <f>B26-B28*3600-B29*60</f>
        <v>0</v>
      </c>
      <c r="C30" s="1"/>
      <c r="D30" s="1">
        <f>27500000000000000 / 30000</f>
        <v>916666666667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 t="s">
        <v>24</v>
      </c>
      <c r="B34" s="10">
        <f>((B35)*(B37))/((B36)*(B38))</f>
        <v>5.6E+16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 t="s">
        <v>25</v>
      </c>
      <c r="B35" s="1">
        <v>0.1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 t="s">
        <v>18</v>
      </c>
      <c r="B36" s="10">
        <v>5.0E-4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 t="s">
        <v>26</v>
      </c>
      <c r="B37" s="10">
        <v>2.8E22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 t="s">
        <v>27</v>
      </c>
      <c r="B38" s="10">
        <v>1.0E8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138888888888889" footer="0.0" header="0.0" left="0.0" right="0.0" top="0.138888888888889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7.63"/>
    <col customWidth="1" min="3" max="3" width="14.38"/>
    <col customWidth="1" min="4" max="4" width="25.38"/>
    <col customWidth="1" min="5" max="5" width="27.75"/>
    <col customWidth="1" min="6" max="6" width="25.25"/>
    <col customWidth="1" min="7" max="26" width="8.63"/>
  </cols>
  <sheetData>
    <row r="1" ht="13.5" customHeight="1">
      <c r="A1" s="1" t="s">
        <v>28</v>
      </c>
      <c r="B1" s="1">
        <v>305.0</v>
      </c>
      <c r="C1" s="11" t="s">
        <v>29</v>
      </c>
      <c r="D1" s="1"/>
      <c r="E1" s="1" t="s">
        <v>30</v>
      </c>
      <c r="F1" s="1"/>
    </row>
    <row r="2" ht="13.5" customHeight="1">
      <c r="A2" s="1" t="s">
        <v>31</v>
      </c>
      <c r="B2" s="1">
        <f>B1/((C2*C4)/B3^2)</f>
        <v>78.42857143</v>
      </c>
      <c r="C2" s="12">
        <v>5.0</v>
      </c>
      <c r="D2" s="1" t="s">
        <v>32</v>
      </c>
      <c r="E2" s="1">
        <f>B1/(C2/B3)</f>
        <v>183</v>
      </c>
      <c r="F2" s="1"/>
    </row>
    <row r="3" ht="13.5" customHeight="1">
      <c r="A3" s="1" t="s">
        <v>2</v>
      </c>
      <c r="B3" s="1">
        <v>3.0</v>
      </c>
      <c r="C3" s="13" t="s">
        <v>33</v>
      </c>
      <c r="D3" s="1"/>
      <c r="E3" s="1"/>
      <c r="F3" s="1"/>
    </row>
    <row r="4" ht="13.5" customHeight="1">
      <c r="A4" s="1" t="s">
        <v>3</v>
      </c>
      <c r="B4" s="1">
        <f>(B3/10)^2</f>
        <v>0.09</v>
      </c>
      <c r="C4" s="12">
        <v>7.0</v>
      </c>
      <c r="D4" s="1" t="s">
        <v>34</v>
      </c>
      <c r="E4" s="1">
        <f>B1/(C4/B3)</f>
        <v>130.7142857</v>
      </c>
      <c r="F4" s="1"/>
    </row>
    <row r="5" ht="13.5" customHeight="1">
      <c r="A5" s="1" t="s">
        <v>4</v>
      </c>
      <c r="B5" s="1">
        <v>1.0</v>
      </c>
      <c r="D5" s="1"/>
      <c r="E5" s="1"/>
      <c r="F5" s="1"/>
    </row>
    <row r="6" ht="13.5" customHeight="1">
      <c r="A6" s="1" t="s">
        <v>35</v>
      </c>
      <c r="B6" s="1">
        <v>70.0</v>
      </c>
      <c r="C6" s="1"/>
      <c r="D6" s="1"/>
      <c r="E6" s="1"/>
      <c r="F6" s="1"/>
    </row>
    <row r="7" ht="13.5" customHeight="1">
      <c r="A7" s="1" t="s">
        <v>36</v>
      </c>
      <c r="B7" s="1">
        <f>1/(COS(B6*PI()/180))</f>
        <v>2.9238044</v>
      </c>
      <c r="C7" s="1"/>
      <c r="D7" s="1"/>
      <c r="E7" s="1"/>
      <c r="F7" s="1"/>
    </row>
    <row r="8" ht="13.5" customHeight="1">
      <c r="A8" s="1" t="s">
        <v>6</v>
      </c>
      <c r="B8" s="1">
        <f>B2/(B3/10)^2</f>
        <v>871.4285714</v>
      </c>
      <c r="C8" s="1"/>
      <c r="D8" s="1" t="s">
        <v>7</v>
      </c>
      <c r="E8" s="1"/>
      <c r="F8" s="1"/>
    </row>
    <row r="9" ht="13.5" customHeight="1">
      <c r="A9" s="1" t="s">
        <v>37</v>
      </c>
      <c r="B9" s="3">
        <f>B8*0.000000001*6242000000000000000/B5</f>
        <v>5439457142857</v>
      </c>
      <c r="C9" s="1"/>
      <c r="D9" s="1"/>
      <c r="E9" s="1"/>
      <c r="F9" s="1"/>
    </row>
    <row r="10" ht="13.5" customHeight="1">
      <c r="A10" s="1" t="s">
        <v>38</v>
      </c>
      <c r="B10" s="3">
        <f>B9/B7</f>
        <v>1860403911614</v>
      </c>
      <c r="C10" s="1"/>
      <c r="D10" s="1"/>
      <c r="E10" s="1"/>
      <c r="F10" s="1"/>
    </row>
    <row r="11" ht="13.5" customHeight="1">
      <c r="A11" s="1"/>
      <c r="B11" s="1"/>
      <c r="C11" s="1"/>
      <c r="D11" s="1"/>
      <c r="E11" s="1"/>
      <c r="F11" s="1"/>
    </row>
    <row r="12" ht="13.5" customHeight="1">
      <c r="A12" s="4" t="s">
        <v>9</v>
      </c>
      <c r="B12" s="5">
        <v>5.0E16</v>
      </c>
      <c r="C12" s="3"/>
      <c r="D12" s="6" t="s">
        <v>10</v>
      </c>
      <c r="E12" s="6" t="s">
        <v>11</v>
      </c>
      <c r="F12" s="6" t="s">
        <v>12</v>
      </c>
    </row>
    <row r="13" ht="13.5" customHeight="1">
      <c r="A13" s="7" t="s">
        <v>12</v>
      </c>
      <c r="B13" s="8">
        <f>B12/B10</f>
        <v>26875.88415</v>
      </c>
      <c r="C13" s="1"/>
      <c r="D13" s="6">
        <f>INT(B13/3600)</f>
        <v>7</v>
      </c>
      <c r="E13" s="6">
        <f>INT((B13/3600-INT(B13/3600))*60)</f>
        <v>27</v>
      </c>
      <c r="F13" s="9">
        <f>(B13)-INT(B13/60)*60</f>
        <v>55.8841496</v>
      </c>
    </row>
    <row r="14" ht="13.5" customHeight="1">
      <c r="A14" s="7" t="s">
        <v>11</v>
      </c>
      <c r="B14" s="8">
        <f>B13/60</f>
        <v>447.9314025</v>
      </c>
      <c r="C14" s="1"/>
      <c r="D14" s="1"/>
      <c r="E14" s="1"/>
      <c r="F14" s="10"/>
    </row>
    <row r="15" ht="13.5" customHeight="1">
      <c r="A15" s="1"/>
      <c r="B15" s="1"/>
      <c r="C15" s="1"/>
      <c r="D15" s="1"/>
      <c r="E15" s="1"/>
      <c r="F15" s="1"/>
    </row>
    <row r="16" ht="13.5" customHeight="1">
      <c r="A16" s="1"/>
      <c r="B16" s="1"/>
      <c r="C16" s="1"/>
      <c r="D16" s="1"/>
      <c r="E16" s="1">
        <f>50.4</f>
        <v>50.4</v>
      </c>
      <c r="F16" s="1"/>
    </row>
    <row r="17" ht="13.5" customHeight="1">
      <c r="A17" s="1" t="s">
        <v>13</v>
      </c>
      <c r="B17" s="1">
        <v>3600.0</v>
      </c>
      <c r="C17" s="1"/>
      <c r="D17" s="1"/>
      <c r="E17" s="1"/>
      <c r="F17" s="1"/>
    </row>
    <row r="18" ht="13.5" customHeight="1">
      <c r="A18" s="1" t="s">
        <v>14</v>
      </c>
      <c r="B18" s="3">
        <f>B17*B10</f>
        <v>6.69745E+15</v>
      </c>
      <c r="C18" s="1"/>
      <c r="D18" s="1"/>
      <c r="E18" s="1"/>
      <c r="F18" s="1"/>
    </row>
    <row r="19" ht="13.5" customHeight="1">
      <c r="A19" s="1"/>
      <c r="B19" s="3"/>
      <c r="C19" s="3"/>
      <c r="D19" s="1"/>
      <c r="E19" s="1"/>
      <c r="F19" s="1"/>
    </row>
    <row r="20" ht="13.5" customHeight="1">
      <c r="A20" s="7" t="s">
        <v>15</v>
      </c>
      <c r="B20" s="8">
        <f>B12-B18</f>
        <v>4.33025E+16</v>
      </c>
      <c r="C20" s="1"/>
      <c r="D20" s="1" t="s">
        <v>16</v>
      </c>
      <c r="E20" s="3">
        <f>B18+B20</f>
        <v>5E+16</v>
      </c>
      <c r="F20" s="1" t="s">
        <v>17</v>
      </c>
    </row>
    <row r="21" ht="13.5" customHeight="1">
      <c r="A21" s="1"/>
      <c r="B21" s="1"/>
      <c r="C21" s="1"/>
      <c r="D21" s="1"/>
      <c r="E21" s="1"/>
      <c r="F21" s="1"/>
    </row>
    <row r="22" ht="13.5" customHeight="1">
      <c r="A22" s="1"/>
      <c r="B22" s="1"/>
      <c r="C22" s="1"/>
      <c r="D22" s="1"/>
      <c r="E22" s="1"/>
      <c r="F22" s="1"/>
    </row>
    <row r="23" ht="13.5" customHeight="1">
      <c r="A23" s="1"/>
      <c r="B23" s="3"/>
      <c r="C23" s="1"/>
      <c r="D23" s="1"/>
      <c r="E23" s="1"/>
      <c r="F23" s="1"/>
    </row>
    <row r="24" ht="13.5" customHeight="1">
      <c r="A24" s="1"/>
      <c r="B24" s="1"/>
      <c r="C24" s="1"/>
      <c r="D24" s="1">
        <f>10000000000000000 - 3260000000000000</f>
        <v>6.74E+15</v>
      </c>
      <c r="E24" s="1"/>
      <c r="F24" s="1"/>
    </row>
    <row r="25" ht="13.5" customHeight="1">
      <c r="A25" s="1"/>
      <c r="B25" s="1"/>
      <c r="C25" s="1"/>
      <c r="D25" s="1"/>
      <c r="E25" s="1"/>
      <c r="F25" s="1"/>
    </row>
    <row r="26" ht="13.5" customHeight="1">
      <c r="A26" s="1" t="s">
        <v>18</v>
      </c>
      <c r="B26" s="3">
        <v>1.6</v>
      </c>
      <c r="C26" s="3"/>
      <c r="D26" s="1"/>
      <c r="E26" s="1"/>
      <c r="F26" s="1"/>
    </row>
    <row r="27" ht="13.5" customHeight="1">
      <c r="A27" s="1" t="s">
        <v>19</v>
      </c>
      <c r="B27" s="3">
        <f>B9*B26</f>
        <v>8703131428571</v>
      </c>
      <c r="C27" s="1"/>
      <c r="D27" s="1"/>
      <c r="E27" s="1"/>
      <c r="F27" s="1"/>
    </row>
    <row r="28" ht="13.5" customHeight="1">
      <c r="A28" s="1" t="s">
        <v>20</v>
      </c>
      <c r="B28" s="1">
        <v>3.0</v>
      </c>
      <c r="C28" s="1"/>
      <c r="D28" s="1">
        <f>11700000000000000 / 18000</f>
        <v>650000000000</v>
      </c>
      <c r="E28" s="1"/>
      <c r="F28" s="1"/>
    </row>
    <row r="29" ht="13.5" customHeight="1">
      <c r="A29" s="1" t="s">
        <v>21</v>
      </c>
      <c r="B29" s="3">
        <f>B28/B27</f>
        <v>0</v>
      </c>
      <c r="C29" s="1"/>
      <c r="D29" s="1"/>
      <c r="E29" s="1"/>
      <c r="F29" s="1"/>
    </row>
    <row r="30" ht="13.5" customHeight="1">
      <c r="A30" s="1"/>
      <c r="B30" s="1"/>
      <c r="C30" s="1"/>
      <c r="D30" s="1"/>
      <c r="E30" s="1"/>
      <c r="F30" s="1"/>
    </row>
    <row r="31" ht="13.5" customHeight="1">
      <c r="A31" s="1" t="s">
        <v>22</v>
      </c>
      <c r="B31" s="1">
        <f>_xlfn.FLOOR.MATH(B29/3600,1)</f>
        <v>0</v>
      </c>
      <c r="C31" s="1"/>
      <c r="D31" s="1">
        <f>4.68 + 5.06 + 5.37 + 2.68 + 3.24 + 6.42</f>
        <v>27.45</v>
      </c>
      <c r="E31" s="1"/>
      <c r="F31" s="10">
        <v>2.0E9</v>
      </c>
    </row>
    <row r="32" ht="13.5" customHeight="1">
      <c r="A32" s="1" t="s">
        <v>23</v>
      </c>
      <c r="B32" s="1">
        <f>_xlfn.FLOOR.MATH((B29-B31*3600)/60,1)</f>
        <v>0</v>
      </c>
      <c r="C32" s="1"/>
      <c r="D32" s="1"/>
      <c r="E32" s="1"/>
      <c r="F32" s="1"/>
    </row>
    <row r="33" ht="13.5" customHeight="1">
      <c r="A33" s="1" t="s">
        <v>21</v>
      </c>
      <c r="B33" s="3">
        <f>B29-B31*3600-B32*60</f>
        <v>0</v>
      </c>
      <c r="C33" s="1"/>
      <c r="D33" s="1">
        <f>27500000000000000 / 30000</f>
        <v>916666666667</v>
      </c>
      <c r="E33" s="1"/>
      <c r="F33" s="1"/>
    </row>
    <row r="34" ht="13.5" customHeight="1">
      <c r="A34" s="1"/>
      <c r="B34" s="1"/>
      <c r="C34" s="1"/>
      <c r="D34" s="1"/>
      <c r="E34" s="1"/>
      <c r="F34" s="1"/>
    </row>
    <row r="35" ht="13.5" customHeight="1">
      <c r="A35" s="1"/>
      <c r="B35" s="1"/>
      <c r="C35" s="1"/>
      <c r="D35" s="1"/>
      <c r="E35" s="1"/>
      <c r="F35" s="1"/>
    </row>
    <row r="36" ht="13.5" customHeight="1">
      <c r="A36" s="1"/>
      <c r="B36" s="1"/>
      <c r="C36" s="1"/>
      <c r="D36" s="1"/>
      <c r="E36" s="1"/>
      <c r="F36" s="1"/>
    </row>
    <row r="37" ht="13.5" customHeight="1">
      <c r="A37" s="1" t="s">
        <v>24</v>
      </c>
      <c r="B37" s="10">
        <f>((B38)*(B40))/((B39)*(B41))</f>
        <v>5.6E+16</v>
      </c>
      <c r="C37" s="1"/>
      <c r="D37" s="1"/>
      <c r="E37" s="1"/>
      <c r="F37" s="1"/>
    </row>
    <row r="38" ht="13.5" customHeight="1">
      <c r="A38" s="1" t="s">
        <v>25</v>
      </c>
      <c r="B38" s="1">
        <v>0.1</v>
      </c>
      <c r="C38" s="1"/>
      <c r="D38" s="1"/>
      <c r="E38" s="1"/>
      <c r="F38" s="1"/>
    </row>
    <row r="39" ht="13.5" customHeight="1">
      <c r="A39" s="1" t="s">
        <v>18</v>
      </c>
      <c r="B39" s="10">
        <v>5.0E-4</v>
      </c>
      <c r="C39" s="1"/>
      <c r="D39" s="1"/>
      <c r="E39" s="1"/>
      <c r="F39" s="1"/>
    </row>
    <row r="40" ht="13.5" customHeight="1">
      <c r="A40" s="1" t="s">
        <v>26</v>
      </c>
      <c r="B40" s="10">
        <v>2.8E22</v>
      </c>
      <c r="C40" s="1"/>
      <c r="D40" s="1"/>
      <c r="E40" s="1"/>
      <c r="F40" s="1"/>
    </row>
    <row r="41" ht="13.5" customHeight="1">
      <c r="A41" s="1" t="s">
        <v>27</v>
      </c>
      <c r="B41" s="10">
        <v>1.0E8</v>
      </c>
      <c r="C41" s="1"/>
      <c r="D41" s="1"/>
      <c r="E41" s="1"/>
      <c r="F41" s="1"/>
    </row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2025-07-25T12:11:40Z</dcterms:created>
</cp:coreProperties>
</file>